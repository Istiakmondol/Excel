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firstSheet="1" activeTab="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" i="6" l="1"/>
  <c r="G14" i="6"/>
  <c r="G12" i="6"/>
  <c r="D12" i="6"/>
  <c r="E12" i="6"/>
  <c r="G6" i="6"/>
  <c r="G4" i="6"/>
  <c r="G2" i="6"/>
  <c r="G3" i="5" l="1"/>
  <c r="G4" i="5"/>
  <c r="G5" i="5"/>
  <c r="G6" i="5"/>
  <c r="G7" i="5"/>
  <c r="G8" i="5"/>
  <c r="G9" i="5"/>
  <c r="G10" i="5"/>
  <c r="G11" i="5"/>
  <c r="G2" i="5"/>
  <c r="D14" i="5"/>
  <c r="L2" i="4"/>
  <c r="K2" i="4"/>
  <c r="D16" i="5"/>
  <c r="L3" i="4"/>
  <c r="L4" i="4"/>
  <c r="L5" i="4"/>
  <c r="L6" i="4"/>
  <c r="L7" i="4"/>
  <c r="L8" i="4"/>
  <c r="L9" i="4"/>
  <c r="L10" i="4"/>
  <c r="L11" i="4"/>
  <c r="K3" i="4"/>
  <c r="K4" i="4"/>
  <c r="K5" i="4"/>
  <c r="K6" i="4"/>
  <c r="K7" i="4"/>
  <c r="K8" i="4"/>
  <c r="K9" i="4"/>
  <c r="K10" i="4"/>
  <c r="K11" i="4"/>
  <c r="J2" i="4"/>
  <c r="I2" i="4"/>
  <c r="H2" i="4"/>
  <c r="H3" i="4"/>
  <c r="H4" i="4"/>
  <c r="H5" i="4"/>
  <c r="H6" i="4"/>
  <c r="H7" i="4"/>
  <c r="H8" i="4"/>
  <c r="H9" i="4"/>
  <c r="H10" i="4"/>
  <c r="H11" i="4"/>
  <c r="G3" i="4"/>
  <c r="G4" i="4"/>
  <c r="G5" i="4"/>
  <c r="G6" i="4"/>
  <c r="G7" i="4"/>
  <c r="G8" i="4"/>
  <c r="G9" i="4"/>
  <c r="G10" i="4"/>
  <c r="G11" i="4"/>
  <c r="G2" i="4"/>
  <c r="P3" i="3"/>
  <c r="P4" i="3"/>
  <c r="P5" i="3"/>
  <c r="P6" i="3"/>
  <c r="P2" i="3"/>
  <c r="O3" i="3"/>
  <c r="O4" i="3"/>
  <c r="O5" i="3"/>
  <c r="O6" i="3"/>
  <c r="O2" i="3"/>
  <c r="N3" i="3"/>
  <c r="N4" i="3"/>
  <c r="N5" i="3"/>
  <c r="N6" i="3"/>
  <c r="N2" i="3"/>
  <c r="M3" i="3"/>
  <c r="M4" i="3"/>
  <c r="M5" i="3"/>
  <c r="M6" i="3"/>
  <c r="M2" i="3"/>
  <c r="L3" i="3"/>
  <c r="L4" i="3"/>
  <c r="L5" i="3"/>
  <c r="L6" i="3"/>
  <c r="L2" i="3"/>
  <c r="K3" i="3"/>
  <c r="K4" i="3"/>
  <c r="K5" i="3"/>
  <c r="K6" i="3"/>
  <c r="K2" i="3"/>
  <c r="J3" i="3"/>
  <c r="J4" i="3"/>
  <c r="J5" i="3"/>
  <c r="J6" i="3"/>
  <c r="J2" i="3"/>
  <c r="I3" i="3"/>
  <c r="I4" i="3"/>
  <c r="I5" i="3"/>
  <c r="I6" i="3"/>
  <c r="I2" i="3"/>
  <c r="H3" i="3"/>
  <c r="H4" i="3"/>
  <c r="H5" i="3"/>
  <c r="H6" i="3"/>
  <c r="H2" i="3"/>
  <c r="G2" i="3"/>
  <c r="G3" i="3"/>
  <c r="G4" i="3"/>
  <c r="G5" i="3"/>
  <c r="G6" i="3"/>
  <c r="K3" i="2"/>
  <c r="K4" i="2"/>
  <c r="K5" i="2"/>
  <c r="K6" i="2"/>
  <c r="K7" i="2"/>
  <c r="K8" i="2"/>
  <c r="K9" i="2"/>
  <c r="K10" i="2"/>
  <c r="K11" i="2"/>
  <c r="K2" i="2"/>
  <c r="J3" i="2"/>
  <c r="J4" i="2"/>
  <c r="J5" i="2"/>
  <c r="J6" i="2"/>
  <c r="J7" i="2"/>
  <c r="J8" i="2"/>
  <c r="J9" i="2"/>
  <c r="J10" i="2"/>
  <c r="J11" i="2"/>
  <c r="J2" i="2"/>
  <c r="I3" i="2"/>
  <c r="I4" i="2"/>
  <c r="I5" i="2"/>
  <c r="I6" i="2"/>
  <c r="I7" i="2"/>
  <c r="I8" i="2"/>
  <c r="I9" i="2"/>
  <c r="I10" i="2"/>
  <c r="I11" i="2"/>
  <c r="I2" i="2"/>
  <c r="H3" i="2"/>
  <c r="H4" i="2"/>
  <c r="H5" i="2"/>
  <c r="H6" i="2"/>
  <c r="H7" i="2"/>
  <c r="H8" i="2"/>
  <c r="H9" i="2"/>
  <c r="H10" i="2"/>
  <c r="H11" i="2"/>
  <c r="H2" i="2"/>
  <c r="G3" i="2"/>
  <c r="G4" i="2"/>
  <c r="G5" i="2"/>
  <c r="G6" i="2"/>
  <c r="G7" i="2"/>
  <c r="G8" i="2"/>
  <c r="G9" i="2"/>
  <c r="G10" i="2"/>
  <c r="G11" i="2"/>
  <c r="G2" i="2"/>
  <c r="F3" i="2"/>
  <c r="F4" i="2"/>
  <c r="F5" i="2"/>
  <c r="F6" i="2"/>
  <c r="F7" i="2"/>
  <c r="F8" i="2"/>
  <c r="F9" i="2"/>
  <c r="F10" i="2"/>
  <c r="F11" i="2"/>
  <c r="F2" i="2"/>
  <c r="F7" i="1"/>
  <c r="E7" i="1"/>
  <c r="D7" i="1"/>
  <c r="C7" i="1"/>
  <c r="B7" i="1"/>
</calcChain>
</file>

<file path=xl/sharedStrings.xml><?xml version="1.0" encoding="utf-8"?>
<sst xmlns="http://schemas.openxmlformats.org/spreadsheetml/2006/main" count="246" uniqueCount="132">
  <si>
    <t>MAX</t>
  </si>
  <si>
    <t>COUNT</t>
  </si>
  <si>
    <t>FORMULA</t>
  </si>
  <si>
    <t>MIN</t>
  </si>
  <si>
    <t>AVERAGE</t>
  </si>
  <si>
    <t>Employess ID</t>
  </si>
  <si>
    <t>Name</t>
  </si>
  <si>
    <t>Department</t>
  </si>
  <si>
    <t>Salary</t>
  </si>
  <si>
    <t>Years of Experience</t>
  </si>
  <si>
    <t>Alice</t>
  </si>
  <si>
    <t>Bob</t>
  </si>
  <si>
    <t>Charlie</t>
  </si>
  <si>
    <t>David</t>
  </si>
  <si>
    <t>Eva</t>
  </si>
  <si>
    <t>Frank</t>
  </si>
  <si>
    <t>Grace</t>
  </si>
  <si>
    <t>Hanna</t>
  </si>
  <si>
    <t>Ivan</t>
  </si>
  <si>
    <t>Jack</t>
  </si>
  <si>
    <t>HR</t>
  </si>
  <si>
    <t>IT</t>
  </si>
  <si>
    <t>Finance</t>
  </si>
  <si>
    <t>Fiinance</t>
  </si>
  <si>
    <t>UPPER</t>
  </si>
  <si>
    <t>LOWER</t>
  </si>
  <si>
    <t>POWER</t>
  </si>
  <si>
    <t>MID</t>
  </si>
  <si>
    <t>SQRT</t>
  </si>
  <si>
    <t>UPPER Case</t>
  </si>
  <si>
    <t>upper ase</t>
  </si>
  <si>
    <t>LOWER Case</t>
  </si>
  <si>
    <t>lower case</t>
  </si>
  <si>
    <t>sqrt</t>
  </si>
  <si>
    <t>SQRT Fun</t>
  </si>
  <si>
    <t>POWER Fun</t>
  </si>
  <si>
    <t>power of 2</t>
  </si>
  <si>
    <t>MID Fun</t>
  </si>
  <si>
    <t>MID Fun1</t>
  </si>
  <si>
    <t>mid(H2,2,3)</t>
  </si>
  <si>
    <t>mid (F2,1,3)</t>
  </si>
  <si>
    <t>Employee ID</t>
  </si>
  <si>
    <t>First Name</t>
  </si>
  <si>
    <t>Last Name</t>
  </si>
  <si>
    <t>Phone Number</t>
  </si>
  <si>
    <t>Smith</t>
  </si>
  <si>
    <t>Johnson</t>
  </si>
  <si>
    <t>Brown</t>
  </si>
  <si>
    <t>Clark</t>
  </si>
  <si>
    <t>123-456-7890</t>
  </si>
  <si>
    <t>987-654-3210</t>
  </si>
  <si>
    <t>456-789-0123</t>
  </si>
  <si>
    <t>321-654-0987</t>
  </si>
  <si>
    <t>789-012-3456</t>
  </si>
  <si>
    <t>Substitute</t>
  </si>
  <si>
    <t>LEFT</t>
  </si>
  <si>
    <t>Right</t>
  </si>
  <si>
    <t>Trim</t>
  </si>
  <si>
    <t>Concat</t>
  </si>
  <si>
    <t>Len</t>
  </si>
  <si>
    <t>Proper</t>
  </si>
  <si>
    <t xml:space="preserve">  HR</t>
  </si>
  <si>
    <t xml:space="preserve">IT  </t>
  </si>
  <si>
    <t xml:space="preserve">HR </t>
  </si>
  <si>
    <t>Substitue</t>
  </si>
  <si>
    <t>Trim removes extra spacec</t>
  </si>
  <si>
    <t>Left</t>
  </si>
  <si>
    <t xml:space="preserve"> Johnson</t>
  </si>
  <si>
    <t xml:space="preserve">       Brown</t>
  </si>
  <si>
    <t xml:space="preserve"> White      </t>
  </si>
  <si>
    <t xml:space="preserve">   Clark</t>
  </si>
  <si>
    <t xml:space="preserve">Substitue without instance number newtext=x </t>
  </si>
  <si>
    <t xml:space="preserve">Substitue with instance number '2' new text=x </t>
  </si>
  <si>
    <t>Substitue without instance No. new text=fill spaces</t>
  </si>
  <si>
    <t>Left most 3 letter with trim function</t>
  </si>
  <si>
    <t>Right most 2letter of 1st name, with trim function</t>
  </si>
  <si>
    <t>Length of 1st name column</t>
  </si>
  <si>
    <t>LEN Fun</t>
  </si>
  <si>
    <t>Length of phone number column</t>
  </si>
  <si>
    <t>Proper Fun</t>
  </si>
  <si>
    <t>Lower Fun</t>
  </si>
  <si>
    <t>Lower case of all letter of 1st name column</t>
  </si>
  <si>
    <t>Title case of lower function</t>
  </si>
  <si>
    <t>Sales</t>
  </si>
  <si>
    <t>Target Achieved</t>
  </si>
  <si>
    <t xml:space="preserve">White      </t>
  </si>
  <si>
    <t>Taylor</t>
  </si>
  <si>
    <t>Evans</t>
  </si>
  <si>
    <t>Martin</t>
  </si>
  <si>
    <t>Lee</t>
  </si>
  <si>
    <t>Walker</t>
  </si>
  <si>
    <t>FInance</t>
  </si>
  <si>
    <t>Yes</t>
  </si>
  <si>
    <t>No</t>
  </si>
  <si>
    <t>Countif</t>
  </si>
  <si>
    <t>If (Also Nested If)</t>
  </si>
  <si>
    <t>Sales + Target got combined</t>
  </si>
  <si>
    <t>Concat space</t>
  </si>
  <si>
    <t>Sales + Target got combined with a space</t>
  </si>
  <si>
    <t>Count If</t>
  </si>
  <si>
    <t>CountIf No</t>
  </si>
  <si>
    <t xml:space="preserve">IF Target achieced=="Yes" then 1, else 0 </t>
  </si>
  <si>
    <t>Target Achieved=="Yes"</t>
  </si>
  <si>
    <t>Target Achieved=="No"</t>
  </si>
  <si>
    <t>If(Department+Target)</t>
  </si>
  <si>
    <t>If(Targert Achv)</t>
  </si>
  <si>
    <t xml:space="preserve"> </t>
  </si>
  <si>
    <t>Only HR with "Yes" got 5 otherwise all "Yes" got 1, and all "No" got 0 (Nasted)</t>
  </si>
  <si>
    <t xml:space="preserve">Countif Sales"&gt;=180" </t>
  </si>
  <si>
    <t>Countif Sales"&lt;=180"</t>
  </si>
  <si>
    <t>Nested If</t>
  </si>
  <si>
    <t>if dep==Finance &amp; Sales&gt;200: got 5. Elseif dep==Finance &amp; sales&lt;200: got 0. elseif dep!=Finance: got 1</t>
  </si>
  <si>
    <t>Date</t>
  </si>
  <si>
    <t>Product</t>
  </si>
  <si>
    <t>Salesperson</t>
  </si>
  <si>
    <t>Units Sold</t>
  </si>
  <si>
    <t>Revenue</t>
  </si>
  <si>
    <t>Widget A</t>
  </si>
  <si>
    <t>Widget B</t>
  </si>
  <si>
    <t>Carol</t>
  </si>
  <si>
    <t>Widget C</t>
  </si>
  <si>
    <t>SumIF</t>
  </si>
  <si>
    <t>CountIF</t>
  </si>
  <si>
    <t>MinIF</t>
  </si>
  <si>
    <t>MaxIF</t>
  </si>
  <si>
    <t>Revenue of Widget A</t>
  </si>
  <si>
    <t>Revenue of Widget B</t>
  </si>
  <si>
    <t>Revenue of Widget C</t>
  </si>
  <si>
    <t>AverageIF</t>
  </si>
  <si>
    <t>Avg Revenue of Widget A</t>
  </si>
  <si>
    <t>Avg Revenue of Widget B</t>
  </si>
  <si>
    <t>Avg Revenue of Widget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</si>
</sst>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/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7" xfId="0" applyFill="1" applyBorder="1"/>
    <xf numFmtId="0" fontId="0" fillId="2" borderId="5" xfId="0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/>
    <xf numFmtId="0" fontId="0" fillId="2" borderId="0" xfId="0" applyFill="1" applyBorder="1" applyAlignment="1">
      <alignment horizontal="center"/>
    </xf>
    <xf numFmtId="0" fontId="1" fillId="0" borderId="1" xfId="0" applyFont="1" applyBorder="1"/>
    <xf numFmtId="0" fontId="1" fillId="0" borderId="0" xfId="0" applyFont="1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7" borderId="1" xfId="0" applyFont="1" applyFill="1" applyBorder="1"/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center" wrapText="1"/>
    </xf>
    <xf numFmtId="0" fontId="1" fillId="5" borderId="1" xfId="0" applyFont="1" applyFill="1" applyBorder="1"/>
    <xf numFmtId="14" fontId="0" fillId="6" borderId="1" xfId="0" applyNumberFormat="1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14" fontId="0" fillId="0" borderId="2" xfId="0" applyNumberForma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6" borderId="1" xfId="0" applyFill="1" applyBorder="1" applyAlignment="1">
      <alignment horizontal="center" vertical="center" wrapText="1"/>
    </xf>
    <xf numFmtId="6" fontId="0" fillId="6" borderId="1" xfId="0" applyNumberFormat="1" applyFill="1" applyBorder="1" applyAlignment="1">
      <alignment horizontal="center" vertical="center" wrapText="1"/>
    </xf>
    <xf numFmtId="6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6" fontId="0" fillId="0" borderId="2" xfId="0" applyNumberFormat="1" applyBorder="1" applyAlignment="1">
      <alignment horizontal="center" vertical="center" wrapText="1"/>
    </xf>
    <xf numFmtId="6" fontId="0" fillId="0" borderId="0" xfId="0" applyNumberFormat="1" applyAlignment="1">
      <alignment horizontal="center"/>
    </xf>
    <xf numFmtId="0" fontId="1" fillId="8" borderId="8" xfId="0" applyFont="1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/>
    </xf>
    <xf numFmtId="2" fontId="0" fillId="10" borderId="8" xfId="0" applyNumberFormat="1" applyFill="1" applyBorder="1" applyAlignment="1">
      <alignment horizontal="center" vertic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8"/>
  <sheetViews>
    <sheetView workbookViewId="0">
      <selection activeCell="F9" sqref="F9"/>
    </sheetView>
  </sheetViews>
  <sheetFormatPr defaultRowHeight="14.4" x14ac:dyDescent="0.3"/>
  <cols>
    <col min="2" max="2" width="10.109375" customWidth="1"/>
    <col min="3" max="3" width="10.44140625" customWidth="1"/>
  </cols>
  <sheetData>
    <row r="1" spans="2:6" ht="15" thickBot="1" x14ac:dyDescent="0.35"/>
    <row r="2" spans="2:6" ht="15" thickBot="1" x14ac:dyDescent="0.35">
      <c r="B2" s="3">
        <v>5</v>
      </c>
      <c r="C2" s="3">
        <v>5</v>
      </c>
      <c r="D2" s="3">
        <v>5</v>
      </c>
      <c r="E2" s="3">
        <v>5</v>
      </c>
      <c r="F2" s="3">
        <v>5</v>
      </c>
    </row>
    <row r="3" spans="2:6" ht="15" thickBot="1" x14ac:dyDescent="0.35">
      <c r="B3" s="3">
        <v>4</v>
      </c>
      <c r="C3" s="3">
        <v>4</v>
      </c>
      <c r="D3" s="3">
        <v>4</v>
      </c>
      <c r="E3" s="3">
        <v>4</v>
      </c>
      <c r="F3" s="3">
        <v>4</v>
      </c>
    </row>
    <row r="4" spans="2:6" ht="15" thickBot="1" x14ac:dyDescent="0.35">
      <c r="B4" s="3">
        <v>45</v>
      </c>
      <c r="C4" s="3">
        <v>45</v>
      </c>
      <c r="D4" s="3">
        <v>45</v>
      </c>
      <c r="E4" s="3">
        <v>45</v>
      </c>
      <c r="F4" s="3">
        <v>45</v>
      </c>
    </row>
    <row r="5" spans="2:6" ht="15" thickBot="1" x14ac:dyDescent="0.35">
      <c r="B5" s="3">
        <v>65</v>
      </c>
      <c r="C5" s="3">
        <v>65</v>
      </c>
      <c r="D5" s="3">
        <v>65</v>
      </c>
      <c r="E5" s="3">
        <v>65</v>
      </c>
      <c r="F5" s="3">
        <v>65</v>
      </c>
    </row>
    <row r="6" spans="2:6" ht="15" thickBot="1" x14ac:dyDescent="0.35">
      <c r="B6" s="4">
        <v>87</v>
      </c>
      <c r="C6" s="4">
        <v>87</v>
      </c>
      <c r="D6" s="4">
        <v>87</v>
      </c>
      <c r="E6" s="4">
        <v>87</v>
      </c>
      <c r="F6" s="4">
        <v>87</v>
      </c>
    </row>
    <row r="7" spans="2:6" ht="15.6" thickTop="1" thickBot="1" x14ac:dyDescent="0.35">
      <c r="B7" s="6">
        <f>SUM(B2:B6)</f>
        <v>206</v>
      </c>
      <c r="C7" s="6">
        <f>AVERAGE(C2:C6)</f>
        <v>41.2</v>
      </c>
      <c r="D7" s="6">
        <f>COUNT(D2:D6)</f>
        <v>5</v>
      </c>
      <c r="E7" s="6">
        <f>MAX(E2:E6)</f>
        <v>87</v>
      </c>
      <c r="F7" s="7">
        <f>MIN(F2:F6)</f>
        <v>4</v>
      </c>
    </row>
    <row r="8" spans="2:6" x14ac:dyDescent="0.3">
      <c r="B8" s="5" t="s">
        <v>2</v>
      </c>
      <c r="C8" s="5" t="s">
        <v>4</v>
      </c>
      <c r="D8" s="5" t="s">
        <v>1</v>
      </c>
      <c r="E8" s="5" t="s">
        <v>0</v>
      </c>
      <c r="F8" s="8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selection activeCell="C19" sqref="C19:C23"/>
    </sheetView>
  </sheetViews>
  <sheetFormatPr defaultRowHeight="14.4" x14ac:dyDescent="0.3"/>
  <cols>
    <col min="1" max="1" width="12.88671875" customWidth="1"/>
    <col min="3" max="3" width="11" customWidth="1"/>
    <col min="5" max="5" width="17.21875" customWidth="1"/>
    <col min="6" max="6" width="10.44140625" customWidth="1"/>
    <col min="7" max="7" width="11.33203125" customWidth="1"/>
    <col min="8" max="8" width="14.6640625" customWidth="1"/>
    <col min="9" max="9" width="18.109375" customWidth="1"/>
    <col min="10" max="10" width="15.44140625" customWidth="1"/>
    <col min="11" max="11" width="13.88671875" customWidth="1"/>
  </cols>
  <sheetData>
    <row r="1" spans="1:11" ht="15" thickBot="1" x14ac:dyDescent="0.35">
      <c r="A1" s="12" t="s">
        <v>5</v>
      </c>
      <c r="B1" s="2" t="s">
        <v>6</v>
      </c>
      <c r="C1" s="13" t="s">
        <v>7</v>
      </c>
      <c r="D1" s="2" t="s">
        <v>8</v>
      </c>
      <c r="E1" s="14" t="s">
        <v>9</v>
      </c>
      <c r="F1" s="16" t="s">
        <v>29</v>
      </c>
      <c r="G1" s="16" t="s">
        <v>31</v>
      </c>
      <c r="H1" s="16" t="s">
        <v>34</v>
      </c>
      <c r="I1" s="16" t="s">
        <v>35</v>
      </c>
      <c r="J1" s="17" t="s">
        <v>37</v>
      </c>
      <c r="K1" s="16" t="s">
        <v>38</v>
      </c>
    </row>
    <row r="2" spans="1:11" ht="15" thickBot="1" x14ac:dyDescent="0.35">
      <c r="A2" s="2">
        <v>101</v>
      </c>
      <c r="B2" s="2" t="s">
        <v>10</v>
      </c>
      <c r="C2" s="2" t="s">
        <v>20</v>
      </c>
      <c r="D2" s="2">
        <v>50000</v>
      </c>
      <c r="E2" s="2">
        <v>5</v>
      </c>
      <c r="F2" s="18" t="str">
        <f>UPPER(B2)</f>
        <v>ALICE</v>
      </c>
      <c r="G2" s="18" t="str">
        <f>LOWER(B2)</f>
        <v>alice</v>
      </c>
      <c r="H2" s="18">
        <f>SQRT(E2)</f>
        <v>2.2360679774997898</v>
      </c>
      <c r="I2" s="18">
        <f>POWER(E2,2)</f>
        <v>25</v>
      </c>
      <c r="J2" s="19" t="str">
        <f>MID(F2,1,3)</f>
        <v>ALI</v>
      </c>
      <c r="K2" s="20" t="str">
        <f>MID(H2,2,3)</f>
        <v>.23</v>
      </c>
    </row>
    <row r="3" spans="1:11" ht="15" thickBot="1" x14ac:dyDescent="0.35">
      <c r="A3" s="2">
        <v>102</v>
      </c>
      <c r="B3" s="2" t="s">
        <v>11</v>
      </c>
      <c r="C3" s="2" t="s">
        <v>21</v>
      </c>
      <c r="D3" s="2">
        <v>60000</v>
      </c>
      <c r="E3" s="2">
        <v>3</v>
      </c>
      <c r="F3" s="18" t="str">
        <f t="shared" ref="F3:F11" si="0">UPPER(B3)</f>
        <v>BOB</v>
      </c>
      <c r="G3" s="18" t="str">
        <f t="shared" ref="G3:G11" si="1">LOWER(B3)</f>
        <v>bob</v>
      </c>
      <c r="H3" s="18">
        <f t="shared" ref="H3:H11" si="2">SQRT(E3)</f>
        <v>1.7320508075688772</v>
      </c>
      <c r="I3" s="18">
        <f t="shared" ref="I3:I11" si="3">POWER(E3,2)</f>
        <v>9</v>
      </c>
      <c r="J3" s="19" t="str">
        <f t="shared" ref="J3:J11" si="4">MID(F3,1,3)</f>
        <v>BOB</v>
      </c>
      <c r="K3" s="20" t="str">
        <f t="shared" ref="K3:K11" si="5">MID(H3,2,3)</f>
        <v>.73</v>
      </c>
    </row>
    <row r="4" spans="1:11" ht="15" thickBot="1" x14ac:dyDescent="0.35">
      <c r="A4" s="2">
        <v>103</v>
      </c>
      <c r="B4" s="2" t="s">
        <v>12</v>
      </c>
      <c r="C4" s="2" t="s">
        <v>22</v>
      </c>
      <c r="D4" s="2">
        <v>55000</v>
      </c>
      <c r="E4" s="2">
        <v>4</v>
      </c>
      <c r="F4" s="18" t="str">
        <f t="shared" si="0"/>
        <v>CHARLIE</v>
      </c>
      <c r="G4" s="18" t="str">
        <f t="shared" si="1"/>
        <v>charlie</v>
      </c>
      <c r="H4" s="18">
        <f t="shared" si="2"/>
        <v>2</v>
      </c>
      <c r="I4" s="18">
        <f t="shared" si="3"/>
        <v>16</v>
      </c>
      <c r="J4" s="19" t="str">
        <f t="shared" si="4"/>
        <v>CHA</v>
      </c>
      <c r="K4" s="20" t="str">
        <f t="shared" si="5"/>
        <v/>
      </c>
    </row>
    <row r="5" spans="1:11" ht="15" thickBot="1" x14ac:dyDescent="0.35">
      <c r="A5" s="2">
        <v>104</v>
      </c>
      <c r="B5" s="2" t="s">
        <v>13</v>
      </c>
      <c r="C5" s="2" t="s">
        <v>21</v>
      </c>
      <c r="D5" s="2">
        <v>70000</v>
      </c>
      <c r="E5" s="2">
        <v>6</v>
      </c>
      <c r="F5" s="18" t="str">
        <f t="shared" si="0"/>
        <v>DAVID</v>
      </c>
      <c r="G5" s="18" t="str">
        <f t="shared" si="1"/>
        <v>david</v>
      </c>
      <c r="H5" s="18">
        <f t="shared" si="2"/>
        <v>2.4494897427831779</v>
      </c>
      <c r="I5" s="18">
        <f t="shared" si="3"/>
        <v>36</v>
      </c>
      <c r="J5" s="19" t="str">
        <f t="shared" si="4"/>
        <v>DAV</v>
      </c>
      <c r="K5" s="20" t="str">
        <f t="shared" si="5"/>
        <v>.44</v>
      </c>
    </row>
    <row r="6" spans="1:11" ht="15" thickBot="1" x14ac:dyDescent="0.35">
      <c r="A6" s="2">
        <v>105</v>
      </c>
      <c r="B6" s="2" t="s">
        <v>14</v>
      </c>
      <c r="C6" s="2" t="s">
        <v>20</v>
      </c>
      <c r="D6" s="2">
        <v>52000</v>
      </c>
      <c r="E6" s="2">
        <v>2</v>
      </c>
      <c r="F6" s="18" t="str">
        <f t="shared" si="0"/>
        <v>EVA</v>
      </c>
      <c r="G6" s="18" t="str">
        <f t="shared" si="1"/>
        <v>eva</v>
      </c>
      <c r="H6" s="18">
        <f t="shared" si="2"/>
        <v>1.4142135623730951</v>
      </c>
      <c r="I6" s="18">
        <f t="shared" si="3"/>
        <v>4</v>
      </c>
      <c r="J6" s="19" t="str">
        <f t="shared" si="4"/>
        <v>EVA</v>
      </c>
      <c r="K6" s="20" t="str">
        <f t="shared" si="5"/>
        <v>.41</v>
      </c>
    </row>
    <row r="7" spans="1:11" ht="15" thickBot="1" x14ac:dyDescent="0.35">
      <c r="A7" s="2">
        <v>106</v>
      </c>
      <c r="B7" s="2" t="s">
        <v>15</v>
      </c>
      <c r="C7" s="2" t="s">
        <v>23</v>
      </c>
      <c r="D7" s="2">
        <v>58000</v>
      </c>
      <c r="E7" s="2">
        <v>5</v>
      </c>
      <c r="F7" s="18" t="str">
        <f t="shared" si="0"/>
        <v>FRANK</v>
      </c>
      <c r="G7" s="18" t="str">
        <f t="shared" si="1"/>
        <v>frank</v>
      </c>
      <c r="H7" s="18">
        <f t="shared" si="2"/>
        <v>2.2360679774997898</v>
      </c>
      <c r="I7" s="18">
        <f t="shared" si="3"/>
        <v>25</v>
      </c>
      <c r="J7" s="19" t="str">
        <f t="shared" si="4"/>
        <v>FRA</v>
      </c>
      <c r="K7" s="20" t="str">
        <f t="shared" si="5"/>
        <v>.23</v>
      </c>
    </row>
    <row r="8" spans="1:11" ht="15" thickBot="1" x14ac:dyDescent="0.35">
      <c r="A8" s="2">
        <v>107</v>
      </c>
      <c r="B8" s="2" t="s">
        <v>16</v>
      </c>
      <c r="C8" s="2" t="s">
        <v>21</v>
      </c>
      <c r="D8" s="2">
        <v>62000</v>
      </c>
      <c r="E8" s="2">
        <v>4</v>
      </c>
      <c r="F8" s="18" t="str">
        <f t="shared" si="0"/>
        <v>GRACE</v>
      </c>
      <c r="G8" s="18" t="str">
        <f t="shared" si="1"/>
        <v>grace</v>
      </c>
      <c r="H8" s="18">
        <f t="shared" si="2"/>
        <v>2</v>
      </c>
      <c r="I8" s="18">
        <f t="shared" si="3"/>
        <v>16</v>
      </c>
      <c r="J8" s="19" t="str">
        <f t="shared" si="4"/>
        <v>GRA</v>
      </c>
      <c r="K8" s="20" t="str">
        <f t="shared" si="5"/>
        <v/>
      </c>
    </row>
    <row r="9" spans="1:11" ht="15" thickBot="1" x14ac:dyDescent="0.35">
      <c r="A9" s="2">
        <v>108</v>
      </c>
      <c r="B9" s="2" t="s">
        <v>17</v>
      </c>
      <c r="C9" s="2" t="s">
        <v>20</v>
      </c>
      <c r="D9" s="2">
        <v>53000</v>
      </c>
      <c r="E9" s="2">
        <v>3</v>
      </c>
      <c r="F9" s="18" t="str">
        <f t="shared" si="0"/>
        <v>HANNA</v>
      </c>
      <c r="G9" s="18" t="str">
        <f t="shared" si="1"/>
        <v>hanna</v>
      </c>
      <c r="H9" s="18">
        <f t="shared" si="2"/>
        <v>1.7320508075688772</v>
      </c>
      <c r="I9" s="18">
        <f t="shared" si="3"/>
        <v>9</v>
      </c>
      <c r="J9" s="19" t="str">
        <f t="shared" si="4"/>
        <v>HAN</v>
      </c>
      <c r="K9" s="20" t="str">
        <f t="shared" si="5"/>
        <v>.73</v>
      </c>
    </row>
    <row r="10" spans="1:11" ht="15" thickBot="1" x14ac:dyDescent="0.35">
      <c r="A10" s="2">
        <v>109</v>
      </c>
      <c r="B10" s="2" t="s">
        <v>18</v>
      </c>
      <c r="C10" s="2" t="s">
        <v>22</v>
      </c>
      <c r="D10" s="2">
        <v>59000</v>
      </c>
      <c r="E10" s="2">
        <v>7</v>
      </c>
      <c r="F10" s="18" t="str">
        <f t="shared" si="0"/>
        <v>IVAN</v>
      </c>
      <c r="G10" s="18" t="str">
        <f t="shared" si="1"/>
        <v>ivan</v>
      </c>
      <c r="H10" s="18">
        <f t="shared" si="2"/>
        <v>2.6457513110645907</v>
      </c>
      <c r="I10" s="18">
        <f t="shared" si="3"/>
        <v>49</v>
      </c>
      <c r="J10" s="19" t="str">
        <f t="shared" si="4"/>
        <v>IVA</v>
      </c>
      <c r="K10" s="20" t="str">
        <f t="shared" si="5"/>
        <v>.64</v>
      </c>
    </row>
    <row r="11" spans="1:11" ht="15" thickBot="1" x14ac:dyDescent="0.35">
      <c r="A11" s="2">
        <v>110</v>
      </c>
      <c r="B11" s="2" t="s">
        <v>19</v>
      </c>
      <c r="C11" s="2" t="s">
        <v>21</v>
      </c>
      <c r="D11" s="2">
        <v>65000</v>
      </c>
      <c r="E11" s="2">
        <v>4</v>
      </c>
      <c r="F11" s="21" t="str">
        <f t="shared" si="0"/>
        <v>JACK</v>
      </c>
      <c r="G11" s="21" t="str">
        <f t="shared" si="1"/>
        <v>jack</v>
      </c>
      <c r="H11" s="21">
        <f t="shared" si="2"/>
        <v>2</v>
      </c>
      <c r="I11" s="21">
        <f t="shared" si="3"/>
        <v>16</v>
      </c>
      <c r="J11" s="22" t="str">
        <f t="shared" si="4"/>
        <v>JAC</v>
      </c>
      <c r="K11" s="23" t="str">
        <f t="shared" si="5"/>
        <v/>
      </c>
    </row>
    <row r="12" spans="1:11" x14ac:dyDescent="0.3">
      <c r="A12" s="11"/>
      <c r="B12" s="11"/>
      <c r="C12" s="11"/>
      <c r="D12" s="11"/>
      <c r="E12" s="11"/>
      <c r="F12" s="18" t="s">
        <v>30</v>
      </c>
      <c r="G12" s="18" t="s">
        <v>32</v>
      </c>
      <c r="H12" s="24" t="s">
        <v>33</v>
      </c>
      <c r="I12" s="24" t="s">
        <v>36</v>
      </c>
      <c r="J12" s="19" t="s">
        <v>40</v>
      </c>
      <c r="K12" s="24" t="s">
        <v>39</v>
      </c>
    </row>
    <row r="19" spans="3:3" x14ac:dyDescent="0.3">
      <c r="C19" t="s">
        <v>24</v>
      </c>
    </row>
    <row r="20" spans="3:3" x14ac:dyDescent="0.3">
      <c r="C20" t="s">
        <v>25</v>
      </c>
    </row>
    <row r="21" spans="3:3" x14ac:dyDescent="0.3">
      <c r="C21" t="s">
        <v>26</v>
      </c>
    </row>
    <row r="22" spans="3:3" x14ac:dyDescent="0.3">
      <c r="C22" t="s">
        <v>27</v>
      </c>
    </row>
    <row r="23" spans="3:3" x14ac:dyDescent="0.3">
      <c r="C23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selection activeCell="D22" sqref="D22"/>
    </sheetView>
  </sheetViews>
  <sheetFormatPr defaultRowHeight="14.4" x14ac:dyDescent="0.3"/>
  <cols>
    <col min="1" max="2" width="11.88671875" customWidth="1"/>
    <col min="3" max="3" width="13.5546875" customWidth="1"/>
    <col min="4" max="4" width="11.88671875" customWidth="1"/>
    <col min="5" max="6" width="13.77734375" customWidth="1"/>
    <col min="7" max="7" width="19.77734375" customWidth="1"/>
    <col min="8" max="8" width="18.21875" customWidth="1"/>
    <col min="9" max="9" width="19.5546875" customWidth="1"/>
    <col min="10" max="10" width="13.44140625" customWidth="1"/>
    <col min="11" max="11" width="20.6640625" customWidth="1"/>
    <col min="12" max="12" width="18.21875" customWidth="1"/>
    <col min="13" max="13" width="17.33203125" customWidth="1"/>
    <col min="14" max="15" width="13.6640625" customWidth="1"/>
    <col min="16" max="16" width="18.21875" customWidth="1"/>
  </cols>
  <sheetData>
    <row r="1" spans="1:16" ht="15" thickBot="1" x14ac:dyDescent="0.35">
      <c r="A1" s="25" t="s">
        <v>41</v>
      </c>
      <c r="B1" s="25" t="s">
        <v>42</v>
      </c>
      <c r="C1" s="25" t="s">
        <v>43</v>
      </c>
      <c r="D1" s="25" t="s">
        <v>7</v>
      </c>
      <c r="E1" s="25" t="s">
        <v>44</v>
      </c>
      <c r="F1" s="26"/>
      <c r="G1" s="27" t="s">
        <v>54</v>
      </c>
      <c r="H1" s="27" t="s">
        <v>64</v>
      </c>
      <c r="I1" s="27" t="s">
        <v>54</v>
      </c>
      <c r="J1" s="30" t="s">
        <v>57</v>
      </c>
      <c r="K1" s="36" t="s">
        <v>66</v>
      </c>
      <c r="L1" s="39" t="s">
        <v>56</v>
      </c>
      <c r="M1" s="33" t="s">
        <v>77</v>
      </c>
      <c r="N1" s="33" t="s">
        <v>77</v>
      </c>
      <c r="O1" s="43" t="s">
        <v>80</v>
      </c>
      <c r="P1" s="43" t="s">
        <v>79</v>
      </c>
    </row>
    <row r="2" spans="1:16" ht="15" thickBot="1" x14ac:dyDescent="0.35">
      <c r="A2">
        <v>101</v>
      </c>
      <c r="B2" t="s">
        <v>10</v>
      </c>
      <c r="C2" t="s">
        <v>45</v>
      </c>
      <c r="D2" t="s">
        <v>61</v>
      </c>
      <c r="E2" t="s">
        <v>49</v>
      </c>
      <c r="G2" s="28" t="str">
        <f>SUBSTITUTE(D2," ","x")</f>
        <v>xxHR</v>
      </c>
      <c r="H2" s="28" t="str">
        <f>SUBSTITUTE(D2," ","x",2)</f>
        <v xml:space="preserve"> xHR</v>
      </c>
      <c r="I2" s="28" t="str">
        <f>SUBSTITUTE(D2," ","")</f>
        <v>HR</v>
      </c>
      <c r="J2" s="31" t="str">
        <f>TRIM(D2)</f>
        <v>HR</v>
      </c>
      <c r="K2" s="37" t="str">
        <f>LEFT(TRIM(C2),3)</f>
        <v>Smi</v>
      </c>
      <c r="L2" s="37" t="str">
        <f>RIGHT(TRIM(C2),2)</f>
        <v>th</v>
      </c>
      <c r="M2" s="34">
        <f>LEN(B2)</f>
        <v>5</v>
      </c>
      <c r="N2" s="34">
        <f>LEN(E2)</f>
        <v>12</v>
      </c>
      <c r="O2" s="45" t="str">
        <f>LOWER(B2)</f>
        <v>alice</v>
      </c>
      <c r="P2" s="45" t="str">
        <f>PROPER(O2)</f>
        <v>Alice</v>
      </c>
    </row>
    <row r="3" spans="1:16" ht="15" thickBot="1" x14ac:dyDescent="0.35">
      <c r="A3">
        <v>102</v>
      </c>
      <c r="B3" t="s">
        <v>11</v>
      </c>
      <c r="C3" t="s">
        <v>67</v>
      </c>
      <c r="D3" t="s">
        <v>62</v>
      </c>
      <c r="E3" t="s">
        <v>50</v>
      </c>
      <c r="G3" s="28" t="str">
        <f t="shared" ref="G3:G6" si="0">SUBSTITUTE(D3," ","x")</f>
        <v>ITxx</v>
      </c>
      <c r="H3" s="28" t="str">
        <f t="shared" ref="H3:H6" si="1">SUBSTITUTE(D3," ","x",2)</f>
        <v>IT x</v>
      </c>
      <c r="I3" s="28" t="str">
        <f t="shared" ref="I3:I6" si="2">SUBSTITUTE(D3," ","")</f>
        <v>IT</v>
      </c>
      <c r="J3" s="31" t="str">
        <f>TRIM(D3)</f>
        <v>IT</v>
      </c>
      <c r="K3" s="37" t="str">
        <f t="shared" ref="K3:K6" si="3">LEFT(TRIM(C3),3)</f>
        <v>Joh</v>
      </c>
      <c r="L3" s="37" t="str">
        <f t="shared" ref="L3:L6" si="4">RIGHT(TRIM(C3),2)</f>
        <v>on</v>
      </c>
      <c r="M3" s="34">
        <f t="shared" ref="M3:M6" si="5">LEN(B3)</f>
        <v>3</v>
      </c>
      <c r="N3" s="34">
        <f t="shared" ref="N3:N6" si="6">LEN(E3)</f>
        <v>12</v>
      </c>
      <c r="O3" s="45" t="str">
        <f t="shared" ref="O3:O6" si="7">LOWER(B3)</f>
        <v>bob</v>
      </c>
      <c r="P3" s="45" t="str">
        <f t="shared" ref="P3:P6" si="8">PROPER(O3)</f>
        <v>Bob</v>
      </c>
    </row>
    <row r="4" spans="1:16" ht="15" thickBot="1" x14ac:dyDescent="0.35">
      <c r="A4">
        <v>103</v>
      </c>
      <c r="B4" t="s">
        <v>12</v>
      </c>
      <c r="C4" t="s">
        <v>68</v>
      </c>
      <c r="D4" t="s">
        <v>22</v>
      </c>
      <c r="E4" t="s">
        <v>51</v>
      </c>
      <c r="G4" s="28" t="str">
        <f t="shared" si="0"/>
        <v>Finance</v>
      </c>
      <c r="H4" s="28" t="str">
        <f t="shared" si="1"/>
        <v>Finance</v>
      </c>
      <c r="I4" s="28" t="str">
        <f t="shared" si="2"/>
        <v>Finance</v>
      </c>
      <c r="J4" s="31" t="str">
        <f>TRIM(D4)</f>
        <v>Finance</v>
      </c>
      <c r="K4" s="37" t="str">
        <f t="shared" si="3"/>
        <v>Bro</v>
      </c>
      <c r="L4" s="37" t="str">
        <f t="shared" si="4"/>
        <v>wn</v>
      </c>
      <c r="M4" s="34">
        <f t="shared" si="5"/>
        <v>7</v>
      </c>
      <c r="N4" s="34">
        <f t="shared" si="6"/>
        <v>12</v>
      </c>
      <c r="O4" s="45" t="str">
        <f t="shared" si="7"/>
        <v>charlie</v>
      </c>
      <c r="P4" s="45" t="str">
        <f t="shared" si="8"/>
        <v>Charlie</v>
      </c>
    </row>
    <row r="5" spans="1:16" ht="15" thickBot="1" x14ac:dyDescent="0.35">
      <c r="A5">
        <v>104</v>
      </c>
      <c r="B5" t="s">
        <v>13</v>
      </c>
      <c r="C5" t="s">
        <v>69</v>
      </c>
      <c r="D5" t="s">
        <v>21</v>
      </c>
      <c r="E5" t="s">
        <v>52</v>
      </c>
      <c r="G5" s="28" t="str">
        <f t="shared" si="0"/>
        <v>IT</v>
      </c>
      <c r="H5" s="28" t="str">
        <f t="shared" si="1"/>
        <v>IT</v>
      </c>
      <c r="I5" s="28" t="str">
        <f t="shared" si="2"/>
        <v>IT</v>
      </c>
      <c r="J5" s="31" t="str">
        <f>TRIM(D5)</f>
        <v>IT</v>
      </c>
      <c r="K5" s="37" t="str">
        <f t="shared" si="3"/>
        <v>Whi</v>
      </c>
      <c r="L5" s="37" t="str">
        <f t="shared" si="4"/>
        <v>te</v>
      </c>
      <c r="M5" s="34">
        <f t="shared" si="5"/>
        <v>5</v>
      </c>
      <c r="N5" s="34">
        <f t="shared" si="6"/>
        <v>12</v>
      </c>
      <c r="O5" s="45" t="str">
        <f t="shared" si="7"/>
        <v>david</v>
      </c>
      <c r="P5" s="45" t="str">
        <f t="shared" si="8"/>
        <v>David</v>
      </c>
    </row>
    <row r="6" spans="1:16" ht="15" thickBot="1" x14ac:dyDescent="0.35">
      <c r="A6">
        <v>105</v>
      </c>
      <c r="B6" t="s">
        <v>14</v>
      </c>
      <c r="C6" t="s">
        <v>70</v>
      </c>
      <c r="D6" t="s">
        <v>63</v>
      </c>
      <c r="E6" t="s">
        <v>53</v>
      </c>
      <c r="G6" s="28" t="str">
        <f t="shared" si="0"/>
        <v>HRx</v>
      </c>
      <c r="H6" s="28" t="str">
        <f t="shared" si="1"/>
        <v xml:space="preserve">HR </v>
      </c>
      <c r="I6" s="28" t="str">
        <f t="shared" si="2"/>
        <v>HR</v>
      </c>
      <c r="J6" s="31" t="str">
        <f>TRIM(D6)</f>
        <v>HR</v>
      </c>
      <c r="K6" s="37" t="str">
        <f t="shared" si="3"/>
        <v>Cla</v>
      </c>
      <c r="L6" s="37" t="str">
        <f t="shared" si="4"/>
        <v>rk</v>
      </c>
      <c r="M6" s="34">
        <f t="shared" si="5"/>
        <v>3</v>
      </c>
      <c r="N6" s="34">
        <f t="shared" si="6"/>
        <v>12</v>
      </c>
      <c r="O6" s="45" t="str">
        <f t="shared" si="7"/>
        <v>eva</v>
      </c>
      <c r="P6" s="45" t="str">
        <f t="shared" si="8"/>
        <v>Eva</v>
      </c>
    </row>
    <row r="7" spans="1:16" ht="43.8" thickBot="1" x14ac:dyDescent="0.35">
      <c r="G7" s="29" t="s">
        <v>71</v>
      </c>
      <c r="H7" s="29" t="s">
        <v>72</v>
      </c>
      <c r="I7" s="29" t="s">
        <v>73</v>
      </c>
      <c r="J7" s="32" t="s">
        <v>65</v>
      </c>
      <c r="K7" s="38" t="s">
        <v>74</v>
      </c>
      <c r="L7" s="38" t="s">
        <v>75</v>
      </c>
      <c r="M7" s="35" t="s">
        <v>76</v>
      </c>
      <c r="N7" s="40" t="s">
        <v>78</v>
      </c>
      <c r="O7" s="44" t="s">
        <v>81</v>
      </c>
      <c r="P7" s="44" t="s">
        <v>82</v>
      </c>
    </row>
    <row r="18" spans="2:2" x14ac:dyDescent="0.3">
      <c r="B18" t="s">
        <v>54</v>
      </c>
    </row>
    <row r="19" spans="2:2" x14ac:dyDescent="0.3">
      <c r="B19" t="s">
        <v>55</v>
      </c>
    </row>
    <row r="20" spans="2:2" x14ac:dyDescent="0.3">
      <c r="B20" t="s">
        <v>56</v>
      </c>
    </row>
    <row r="21" spans="2:2" x14ac:dyDescent="0.3">
      <c r="B21" t="s">
        <v>57</v>
      </c>
    </row>
    <row r="22" spans="2:2" x14ac:dyDescent="0.3">
      <c r="B22" t="s">
        <v>59</v>
      </c>
    </row>
    <row r="23" spans="2:2" x14ac:dyDescent="0.3">
      <c r="B23" t="s">
        <v>60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topLeftCell="H1" workbookViewId="0">
      <selection activeCell="L3" sqref="L3"/>
    </sheetView>
  </sheetViews>
  <sheetFormatPr defaultRowHeight="14.4" x14ac:dyDescent="0.3"/>
  <cols>
    <col min="1" max="2" width="11.88671875" customWidth="1"/>
    <col min="3" max="3" width="15" customWidth="1"/>
    <col min="4" max="4" width="11.6640625" customWidth="1"/>
    <col min="5" max="5" width="14.88671875" customWidth="1"/>
    <col min="6" max="6" width="10.77734375" customWidth="1"/>
    <col min="7" max="7" width="17.88671875" customWidth="1"/>
    <col min="8" max="8" width="12" customWidth="1"/>
    <col min="9" max="9" width="15" customWidth="1"/>
    <col min="10" max="10" width="15.21875" customWidth="1"/>
    <col min="11" max="11" width="14.109375" customWidth="1"/>
    <col min="12" max="12" width="21.5546875" customWidth="1"/>
  </cols>
  <sheetData>
    <row r="1" spans="1:12" ht="15" thickBot="1" x14ac:dyDescent="0.35">
      <c r="A1" s="25" t="s">
        <v>42</v>
      </c>
      <c r="B1" s="25" t="s">
        <v>43</v>
      </c>
      <c r="C1" s="25" t="s">
        <v>7</v>
      </c>
      <c r="D1" s="25" t="s">
        <v>83</v>
      </c>
      <c r="E1" s="25" t="s">
        <v>84</v>
      </c>
      <c r="G1" s="42" t="s">
        <v>58</v>
      </c>
      <c r="H1" s="48" t="s">
        <v>97</v>
      </c>
      <c r="I1" s="30" t="s">
        <v>99</v>
      </c>
      <c r="J1" s="30" t="s">
        <v>100</v>
      </c>
      <c r="K1" s="36" t="s">
        <v>105</v>
      </c>
      <c r="L1" s="36" t="s">
        <v>104</v>
      </c>
    </row>
    <row r="2" spans="1:12" ht="15" thickBot="1" x14ac:dyDescent="0.35">
      <c r="A2" s="46" t="s">
        <v>10</v>
      </c>
      <c r="B2" s="47" t="s">
        <v>45</v>
      </c>
      <c r="C2" s="1" t="s">
        <v>20</v>
      </c>
      <c r="D2" s="1">
        <v>150</v>
      </c>
      <c r="E2" s="1" t="s">
        <v>92</v>
      </c>
      <c r="G2" s="49" t="str">
        <f>CONCATENATE(D2,E2)</f>
        <v>150Yes</v>
      </c>
      <c r="H2" s="49" t="str">
        <f>CONCATENATE(D2," ",E2)</f>
        <v>150 Yes</v>
      </c>
      <c r="I2" s="50">
        <f>COUNTIF(E2:E11,"yes")</f>
        <v>6</v>
      </c>
      <c r="J2" s="50">
        <f>COUNTIF(E2:E11,"No")</f>
        <v>4</v>
      </c>
      <c r="K2" s="51">
        <f>IF(E2="Yes",1,0)</f>
        <v>1</v>
      </c>
      <c r="L2" s="51">
        <f>IF(E2="Yes",IF(C2="HR",5,1),0)</f>
        <v>5</v>
      </c>
    </row>
    <row r="3" spans="1:12" ht="15" thickBot="1" x14ac:dyDescent="0.35">
      <c r="A3" s="46" t="s">
        <v>11</v>
      </c>
      <c r="B3" s="47" t="s">
        <v>46</v>
      </c>
      <c r="C3" s="1" t="s">
        <v>21</v>
      </c>
      <c r="D3" s="1">
        <v>200</v>
      </c>
      <c r="E3" s="1" t="s">
        <v>93</v>
      </c>
      <c r="G3" s="49" t="str">
        <f t="shared" ref="G3:G11" si="0">CONCATENATE(D3,E3)</f>
        <v>200No</v>
      </c>
      <c r="H3" s="49" t="str">
        <f t="shared" ref="H3:H11" si="1">CONCATENATE(D3," ",E3)</f>
        <v>200 No</v>
      </c>
      <c r="I3" s="50"/>
      <c r="J3" s="50"/>
      <c r="K3" s="51">
        <f t="shared" ref="K3:K11" si="2">IF(E3="Yes",1,0)</f>
        <v>0</v>
      </c>
      <c r="L3" s="51">
        <f t="shared" ref="L3:L11" si="3">IF(E3="Yes",IF(C3="HR",5,1),0)</f>
        <v>0</v>
      </c>
    </row>
    <row r="4" spans="1:12" ht="15" thickBot="1" x14ac:dyDescent="0.35">
      <c r="A4" s="46" t="s">
        <v>12</v>
      </c>
      <c r="B4" s="47" t="s">
        <v>47</v>
      </c>
      <c r="C4" s="1" t="s">
        <v>22</v>
      </c>
      <c r="D4" s="1">
        <v>180</v>
      </c>
      <c r="E4" s="1" t="s">
        <v>92</v>
      </c>
      <c r="G4" s="49" t="str">
        <f t="shared" si="0"/>
        <v>180Yes</v>
      </c>
      <c r="H4" s="49" t="str">
        <f t="shared" si="1"/>
        <v>180 Yes</v>
      </c>
      <c r="I4" s="50"/>
      <c r="J4" s="50"/>
      <c r="K4" s="51">
        <f t="shared" si="2"/>
        <v>1</v>
      </c>
      <c r="L4" s="51">
        <f t="shared" si="3"/>
        <v>1</v>
      </c>
    </row>
    <row r="5" spans="1:12" ht="15" thickBot="1" x14ac:dyDescent="0.35">
      <c r="A5" s="46" t="s">
        <v>13</v>
      </c>
      <c r="B5" s="47" t="s">
        <v>85</v>
      </c>
      <c r="C5" s="1" t="s">
        <v>21</v>
      </c>
      <c r="D5" s="1">
        <v>220</v>
      </c>
      <c r="E5" s="1" t="s">
        <v>92</v>
      </c>
      <c r="G5" s="49" t="str">
        <f t="shared" si="0"/>
        <v>220Yes</v>
      </c>
      <c r="H5" s="49" t="str">
        <f t="shared" si="1"/>
        <v>220 Yes</v>
      </c>
      <c r="I5" s="50"/>
      <c r="J5" s="50"/>
      <c r="K5" s="51">
        <f t="shared" si="2"/>
        <v>1</v>
      </c>
      <c r="L5" s="51">
        <f t="shared" si="3"/>
        <v>1</v>
      </c>
    </row>
    <row r="6" spans="1:12" ht="15" thickBot="1" x14ac:dyDescent="0.35">
      <c r="A6" s="46" t="s">
        <v>14</v>
      </c>
      <c r="B6" s="47" t="s">
        <v>48</v>
      </c>
      <c r="C6" s="1" t="s">
        <v>20</v>
      </c>
      <c r="D6" s="1">
        <v>170</v>
      </c>
      <c r="E6" s="1" t="s">
        <v>93</v>
      </c>
      <c r="G6" s="49" t="str">
        <f t="shared" si="0"/>
        <v>170No</v>
      </c>
      <c r="H6" s="49" t="str">
        <f t="shared" si="1"/>
        <v>170 No</v>
      </c>
      <c r="I6" s="50"/>
      <c r="J6" s="50"/>
      <c r="K6" s="51">
        <f t="shared" si="2"/>
        <v>0</v>
      </c>
      <c r="L6" s="51">
        <f t="shared" si="3"/>
        <v>0</v>
      </c>
    </row>
    <row r="7" spans="1:12" ht="15" thickBot="1" x14ac:dyDescent="0.35">
      <c r="A7" s="46" t="s">
        <v>15</v>
      </c>
      <c r="B7" s="47" t="s">
        <v>86</v>
      </c>
      <c r="C7" s="1" t="s">
        <v>91</v>
      </c>
      <c r="D7" s="1">
        <v>210</v>
      </c>
      <c r="E7" s="1" t="s">
        <v>92</v>
      </c>
      <c r="G7" s="49" t="str">
        <f t="shared" si="0"/>
        <v>210Yes</v>
      </c>
      <c r="H7" s="49" t="str">
        <f t="shared" si="1"/>
        <v>210 Yes</v>
      </c>
      <c r="I7" s="50"/>
      <c r="J7" s="50"/>
      <c r="K7" s="51">
        <f t="shared" si="2"/>
        <v>1</v>
      </c>
      <c r="L7" s="51">
        <f t="shared" si="3"/>
        <v>1</v>
      </c>
    </row>
    <row r="8" spans="1:12" ht="15" thickBot="1" x14ac:dyDescent="0.35">
      <c r="A8" s="46" t="s">
        <v>16</v>
      </c>
      <c r="B8" s="47" t="s">
        <v>87</v>
      </c>
      <c r="C8" s="1" t="s">
        <v>21</v>
      </c>
      <c r="D8" s="1">
        <v>230</v>
      </c>
      <c r="E8" s="1" t="s">
        <v>92</v>
      </c>
      <c r="G8" s="49" t="str">
        <f t="shared" si="0"/>
        <v>230Yes</v>
      </c>
      <c r="H8" s="49" t="str">
        <f t="shared" si="1"/>
        <v>230 Yes</v>
      </c>
      <c r="I8" s="50"/>
      <c r="J8" s="50"/>
      <c r="K8" s="51">
        <f t="shared" si="2"/>
        <v>1</v>
      </c>
      <c r="L8" s="51">
        <f t="shared" si="3"/>
        <v>1</v>
      </c>
    </row>
    <row r="9" spans="1:12" ht="15" thickBot="1" x14ac:dyDescent="0.35">
      <c r="A9" s="46" t="s">
        <v>17</v>
      </c>
      <c r="B9" s="47" t="s">
        <v>88</v>
      </c>
      <c r="C9" s="1" t="s">
        <v>20</v>
      </c>
      <c r="D9" s="1">
        <v>160</v>
      </c>
      <c r="E9" s="1" t="s">
        <v>93</v>
      </c>
      <c r="G9" s="49" t="str">
        <f t="shared" si="0"/>
        <v>160No</v>
      </c>
      <c r="H9" s="49" t="str">
        <f t="shared" si="1"/>
        <v>160 No</v>
      </c>
      <c r="I9" s="50"/>
      <c r="J9" s="50"/>
      <c r="K9" s="51">
        <f t="shared" si="2"/>
        <v>0</v>
      </c>
      <c r="L9" s="51">
        <f t="shared" si="3"/>
        <v>0</v>
      </c>
    </row>
    <row r="10" spans="1:12" ht="15" thickBot="1" x14ac:dyDescent="0.35">
      <c r="A10" s="46" t="s">
        <v>18</v>
      </c>
      <c r="B10" s="47" t="s">
        <v>89</v>
      </c>
      <c r="C10" s="1" t="s">
        <v>22</v>
      </c>
      <c r="D10" s="1">
        <v>200</v>
      </c>
      <c r="E10" s="1" t="s">
        <v>92</v>
      </c>
      <c r="G10" s="49" t="str">
        <f t="shared" si="0"/>
        <v>200Yes</v>
      </c>
      <c r="H10" s="49" t="str">
        <f t="shared" si="1"/>
        <v>200 Yes</v>
      </c>
      <c r="I10" s="50"/>
      <c r="J10" s="50"/>
      <c r="K10" s="51">
        <f t="shared" si="2"/>
        <v>1</v>
      </c>
      <c r="L10" s="51">
        <f t="shared" si="3"/>
        <v>1</v>
      </c>
    </row>
    <row r="11" spans="1:12" ht="15" thickBot="1" x14ac:dyDescent="0.35">
      <c r="A11" s="46" t="s">
        <v>19</v>
      </c>
      <c r="B11" s="47" t="s">
        <v>90</v>
      </c>
      <c r="C11" s="1" t="s">
        <v>21</v>
      </c>
      <c r="D11" s="1">
        <v>190</v>
      </c>
      <c r="E11" s="1" t="s">
        <v>93</v>
      </c>
      <c r="G11" s="49" t="str">
        <f t="shared" si="0"/>
        <v>190No</v>
      </c>
      <c r="H11" s="49" t="str">
        <f t="shared" si="1"/>
        <v>190 No</v>
      </c>
      <c r="I11" s="50"/>
      <c r="J11" s="50"/>
      <c r="K11" s="51">
        <f t="shared" si="2"/>
        <v>0</v>
      </c>
      <c r="L11" s="51">
        <f t="shared" si="3"/>
        <v>0</v>
      </c>
    </row>
    <row r="12" spans="1:12" ht="57.6" x14ac:dyDescent="0.3">
      <c r="G12" s="9" t="s">
        <v>96</v>
      </c>
      <c r="H12" s="9" t="s">
        <v>98</v>
      </c>
      <c r="I12" s="9" t="s">
        <v>102</v>
      </c>
      <c r="J12" s="9" t="s">
        <v>103</v>
      </c>
      <c r="K12" s="9" t="s">
        <v>101</v>
      </c>
      <c r="L12" s="9" t="s">
        <v>107</v>
      </c>
    </row>
    <row r="15" spans="1:12" x14ac:dyDescent="0.3">
      <c r="K15" t="s">
        <v>106</v>
      </c>
    </row>
    <row r="17" spans="3:3" x14ac:dyDescent="0.3">
      <c r="C17" t="s">
        <v>58</v>
      </c>
    </row>
    <row r="18" spans="3:3" x14ac:dyDescent="0.3">
      <c r="C18" t="s">
        <v>94</v>
      </c>
    </row>
    <row r="19" spans="3:3" x14ac:dyDescent="0.3">
      <c r="C19" t="s">
        <v>95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opLeftCell="B1" workbookViewId="0">
      <selection activeCell="E18" sqref="E18"/>
    </sheetView>
  </sheetViews>
  <sheetFormatPr defaultRowHeight="14.4" x14ac:dyDescent="0.3"/>
  <cols>
    <col min="1" max="1" width="11.44140625" customWidth="1"/>
    <col min="2" max="2" width="10.6640625" customWidth="1"/>
    <col min="3" max="3" width="11.5546875" customWidth="1"/>
    <col min="4" max="4" width="19.44140625" customWidth="1"/>
    <col min="5" max="5" width="17.88671875" customWidth="1"/>
    <col min="7" max="7" width="24.109375" customWidth="1"/>
  </cols>
  <sheetData>
    <row r="1" spans="1:7" ht="15" thickBot="1" x14ac:dyDescent="0.35">
      <c r="A1" s="41" t="s">
        <v>42</v>
      </c>
      <c r="B1" s="41" t="s">
        <v>43</v>
      </c>
      <c r="C1" s="41" t="s">
        <v>7</v>
      </c>
      <c r="D1" s="41" t="s">
        <v>83</v>
      </c>
      <c r="E1" s="41" t="s">
        <v>84</v>
      </c>
      <c r="G1" s="42" t="s">
        <v>110</v>
      </c>
    </row>
    <row r="2" spans="1:7" ht="15" thickBot="1" x14ac:dyDescent="0.35">
      <c r="A2" s="46" t="s">
        <v>10</v>
      </c>
      <c r="B2" s="47" t="s">
        <v>45</v>
      </c>
      <c r="C2" s="1" t="s">
        <v>20</v>
      </c>
      <c r="D2" s="2">
        <v>150</v>
      </c>
      <c r="E2" s="1" t="s">
        <v>92</v>
      </c>
      <c r="G2" s="52">
        <f>IF(C2="Finance",IF(D2&gt;200,5,0),1)</f>
        <v>1</v>
      </c>
    </row>
    <row r="3" spans="1:7" ht="15" thickBot="1" x14ac:dyDescent="0.35">
      <c r="A3" s="46" t="s">
        <v>11</v>
      </c>
      <c r="B3" s="47" t="s">
        <v>46</v>
      </c>
      <c r="C3" s="1" t="s">
        <v>21</v>
      </c>
      <c r="D3" s="2">
        <v>200</v>
      </c>
      <c r="E3" s="1" t="s">
        <v>93</v>
      </c>
      <c r="G3" s="52">
        <f t="shared" ref="G3:G11" si="0">IF(C3="Finance",IF(D3&gt;200,5,0),1)</f>
        <v>1</v>
      </c>
    </row>
    <row r="4" spans="1:7" ht="15" thickBot="1" x14ac:dyDescent="0.35">
      <c r="A4" s="46" t="s">
        <v>12</v>
      </c>
      <c r="B4" s="47" t="s">
        <v>47</v>
      </c>
      <c r="C4" s="1" t="s">
        <v>22</v>
      </c>
      <c r="D4" s="2">
        <v>180</v>
      </c>
      <c r="E4" s="1" t="s">
        <v>92</v>
      </c>
      <c r="G4" s="52">
        <f t="shared" si="0"/>
        <v>0</v>
      </c>
    </row>
    <row r="5" spans="1:7" ht="15" thickBot="1" x14ac:dyDescent="0.35">
      <c r="A5" s="46" t="s">
        <v>13</v>
      </c>
      <c r="B5" s="47" t="s">
        <v>85</v>
      </c>
      <c r="C5" s="1" t="s">
        <v>21</v>
      </c>
      <c r="D5" s="2">
        <v>220</v>
      </c>
      <c r="E5" s="1" t="s">
        <v>92</v>
      </c>
      <c r="G5" s="52">
        <f t="shared" si="0"/>
        <v>1</v>
      </c>
    </row>
    <row r="6" spans="1:7" ht="15" thickBot="1" x14ac:dyDescent="0.35">
      <c r="A6" s="46" t="s">
        <v>14</v>
      </c>
      <c r="B6" s="47" t="s">
        <v>48</v>
      </c>
      <c r="C6" s="1" t="s">
        <v>20</v>
      </c>
      <c r="D6" s="2">
        <v>170</v>
      </c>
      <c r="E6" s="1" t="s">
        <v>93</v>
      </c>
      <c r="G6" s="52">
        <f t="shared" si="0"/>
        <v>1</v>
      </c>
    </row>
    <row r="7" spans="1:7" ht="15" thickBot="1" x14ac:dyDescent="0.35">
      <c r="A7" s="46" t="s">
        <v>15</v>
      </c>
      <c r="B7" s="47" t="s">
        <v>86</v>
      </c>
      <c r="C7" s="1" t="s">
        <v>91</v>
      </c>
      <c r="D7" s="2">
        <v>210</v>
      </c>
      <c r="E7" s="1" t="s">
        <v>92</v>
      </c>
      <c r="G7" s="52">
        <f t="shared" si="0"/>
        <v>5</v>
      </c>
    </row>
    <row r="8" spans="1:7" ht="15" thickBot="1" x14ac:dyDescent="0.35">
      <c r="A8" s="46" t="s">
        <v>16</v>
      </c>
      <c r="B8" s="47" t="s">
        <v>87</v>
      </c>
      <c r="C8" s="1" t="s">
        <v>21</v>
      </c>
      <c r="D8" s="2">
        <v>230</v>
      </c>
      <c r="E8" s="1" t="s">
        <v>92</v>
      </c>
      <c r="G8" s="52">
        <f t="shared" si="0"/>
        <v>1</v>
      </c>
    </row>
    <row r="9" spans="1:7" ht="15" thickBot="1" x14ac:dyDescent="0.35">
      <c r="A9" s="46" t="s">
        <v>17</v>
      </c>
      <c r="B9" s="47" t="s">
        <v>88</v>
      </c>
      <c r="C9" s="1" t="s">
        <v>20</v>
      </c>
      <c r="D9" s="2">
        <v>160</v>
      </c>
      <c r="E9" s="1" t="s">
        <v>93</v>
      </c>
      <c r="G9" s="52">
        <f t="shared" si="0"/>
        <v>1</v>
      </c>
    </row>
    <row r="10" spans="1:7" ht="15" thickBot="1" x14ac:dyDescent="0.35">
      <c r="A10" s="46" t="s">
        <v>18</v>
      </c>
      <c r="B10" s="47" t="s">
        <v>89</v>
      </c>
      <c r="C10" s="1" t="s">
        <v>22</v>
      </c>
      <c r="D10" s="2">
        <v>200</v>
      </c>
      <c r="E10" s="1" t="s">
        <v>92</v>
      </c>
      <c r="G10" s="52">
        <f t="shared" si="0"/>
        <v>0</v>
      </c>
    </row>
    <row r="11" spans="1:7" ht="15" thickBot="1" x14ac:dyDescent="0.35">
      <c r="A11" s="46" t="s">
        <v>19</v>
      </c>
      <c r="B11" s="47" t="s">
        <v>90</v>
      </c>
      <c r="C11" s="1" t="s">
        <v>21</v>
      </c>
      <c r="D11" s="2">
        <v>190</v>
      </c>
      <c r="E11" s="1" t="s">
        <v>93</v>
      </c>
      <c r="G11" s="52">
        <f t="shared" si="0"/>
        <v>1</v>
      </c>
    </row>
    <row r="12" spans="1:7" ht="72.599999999999994" thickBot="1" x14ac:dyDescent="0.35">
      <c r="G12" s="53" t="s">
        <v>111</v>
      </c>
    </row>
    <row r="13" spans="1:7" ht="15" thickBot="1" x14ac:dyDescent="0.35">
      <c r="D13" s="54" t="s">
        <v>108</v>
      </c>
    </row>
    <row r="14" spans="1:7" ht="15" thickBot="1" x14ac:dyDescent="0.35">
      <c r="D14" s="51">
        <f>COUNTIF(D2:D11,"&gt;=180")</f>
        <v>7</v>
      </c>
    </row>
    <row r="15" spans="1:7" ht="15" thickBot="1" x14ac:dyDescent="0.35">
      <c r="D15" s="36" t="s">
        <v>109</v>
      </c>
    </row>
    <row r="16" spans="1:7" ht="15" thickBot="1" x14ac:dyDescent="0.35">
      <c r="D16" s="51">
        <f>COUNTIF(D2:D11,"&lt;=180")</f>
        <v>4</v>
      </c>
    </row>
  </sheetData>
  <conditionalFormatting sqref="D2:D11">
    <cfRule type="cellIs" dxfId="6" priority="3" operator="lessThan">
      <formula>180</formula>
    </cfRule>
    <cfRule type="cellIs" dxfId="5" priority="4" operator="greaterThan">
      <formula>180</formula>
    </cfRule>
  </conditionalFormatting>
  <conditionalFormatting sqref="D4">
    <cfRule type="cellIs" dxfId="4" priority="1" operator="equal">
      <formula>180</formula>
    </cfRule>
    <cfRule type="cellIs" dxfId="3" priority="2" operator="equal">
      <formula>180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topLeftCell="B1" workbookViewId="0">
      <selection activeCell="E19" sqref="E19"/>
    </sheetView>
  </sheetViews>
  <sheetFormatPr defaultRowHeight="14.4" x14ac:dyDescent="0.3"/>
  <cols>
    <col min="1" max="1" width="10.77734375" customWidth="1"/>
    <col min="2" max="2" width="11.5546875" customWidth="1"/>
    <col min="3" max="3" width="13.5546875" customWidth="1"/>
    <col min="4" max="4" width="11.6640625" customWidth="1"/>
    <col min="5" max="5" width="13" customWidth="1"/>
    <col min="7" max="7" width="26.77734375" customWidth="1"/>
  </cols>
  <sheetData>
    <row r="1" spans="1:7" ht="15" thickBot="1" x14ac:dyDescent="0.35">
      <c r="A1" s="59" t="s">
        <v>112</v>
      </c>
      <c r="B1" s="59" t="s">
        <v>113</v>
      </c>
      <c r="C1" s="59" t="s">
        <v>114</v>
      </c>
      <c r="D1" s="59" t="s">
        <v>115</v>
      </c>
      <c r="E1" s="59" t="s">
        <v>116</v>
      </c>
      <c r="F1" s="15"/>
      <c r="G1" s="68" t="s">
        <v>125</v>
      </c>
    </row>
    <row r="2" spans="1:7" ht="15" thickBot="1" x14ac:dyDescent="0.35">
      <c r="A2" s="55">
        <v>45536</v>
      </c>
      <c r="B2" s="56" t="s">
        <v>117</v>
      </c>
      <c r="C2" s="56" t="s">
        <v>10</v>
      </c>
      <c r="D2" s="62">
        <v>10</v>
      </c>
      <c r="E2" s="63">
        <v>200</v>
      </c>
      <c r="G2" s="69">
        <f>SUMIF(B2:B11,"Widget A",E2:E11)</f>
        <v>740</v>
      </c>
    </row>
    <row r="3" spans="1:7" ht="15" thickBot="1" x14ac:dyDescent="0.35">
      <c r="A3" s="57">
        <v>45536</v>
      </c>
      <c r="B3" s="14" t="s">
        <v>118</v>
      </c>
      <c r="C3" s="14" t="s">
        <v>11</v>
      </c>
      <c r="D3" s="13">
        <v>5</v>
      </c>
      <c r="E3" s="64">
        <v>150</v>
      </c>
      <c r="G3" s="70" t="s">
        <v>126</v>
      </c>
    </row>
    <row r="4" spans="1:7" ht="15" thickBot="1" x14ac:dyDescent="0.35">
      <c r="A4" s="57">
        <v>45537</v>
      </c>
      <c r="B4" s="14" t="s">
        <v>117</v>
      </c>
      <c r="C4" s="14" t="s">
        <v>119</v>
      </c>
      <c r="D4" s="13">
        <v>7</v>
      </c>
      <c r="E4" s="64">
        <v>140</v>
      </c>
      <c r="G4" s="71">
        <f>SUMIF(B2:B11,"Widget B",E2:E11)</f>
        <v>690</v>
      </c>
    </row>
    <row r="5" spans="1:7" ht="15" thickBot="1" x14ac:dyDescent="0.35">
      <c r="A5" s="57">
        <v>45537</v>
      </c>
      <c r="B5" s="14" t="s">
        <v>120</v>
      </c>
      <c r="C5" s="14" t="s">
        <v>10</v>
      </c>
      <c r="D5" s="13">
        <v>15</v>
      </c>
      <c r="E5" s="64">
        <v>300</v>
      </c>
      <c r="G5" s="72" t="s">
        <v>127</v>
      </c>
    </row>
    <row r="6" spans="1:7" ht="15" thickBot="1" x14ac:dyDescent="0.35">
      <c r="A6" s="57">
        <v>45538</v>
      </c>
      <c r="B6" s="14" t="s">
        <v>118</v>
      </c>
      <c r="C6" s="14" t="s">
        <v>119</v>
      </c>
      <c r="D6" s="13">
        <v>8</v>
      </c>
      <c r="E6" s="64">
        <v>240</v>
      </c>
      <c r="G6" s="73">
        <f>SUMIF(B2:B11,"Widget C",E2:E11)</f>
        <v>520</v>
      </c>
    </row>
    <row r="7" spans="1:7" ht="15" thickBot="1" x14ac:dyDescent="0.35">
      <c r="A7" s="57">
        <v>45538</v>
      </c>
      <c r="B7" s="14" t="s">
        <v>117</v>
      </c>
      <c r="C7" s="14" t="s">
        <v>11</v>
      </c>
      <c r="D7" s="13">
        <v>12</v>
      </c>
      <c r="E7" s="64">
        <v>240</v>
      </c>
      <c r="G7" s="10" t="s">
        <v>121</v>
      </c>
    </row>
    <row r="8" spans="1:7" ht="15" thickBot="1" x14ac:dyDescent="0.35">
      <c r="A8" s="57">
        <v>45539</v>
      </c>
      <c r="B8" s="14" t="s">
        <v>120</v>
      </c>
      <c r="C8" s="14" t="s">
        <v>10</v>
      </c>
      <c r="D8" s="13">
        <v>6</v>
      </c>
      <c r="E8" s="64">
        <v>120</v>
      </c>
    </row>
    <row r="9" spans="1:7" ht="15" thickBot="1" x14ac:dyDescent="0.35">
      <c r="A9" s="57">
        <v>45539</v>
      </c>
      <c r="B9" s="14" t="s">
        <v>118</v>
      </c>
      <c r="C9" s="14" t="s">
        <v>11</v>
      </c>
      <c r="D9" s="13">
        <v>10</v>
      </c>
      <c r="E9" s="64">
        <v>300</v>
      </c>
    </row>
    <row r="10" spans="1:7" ht="15" thickBot="1" x14ac:dyDescent="0.35">
      <c r="A10" s="57">
        <v>45540</v>
      </c>
      <c r="B10" s="14" t="s">
        <v>117</v>
      </c>
      <c r="C10" s="14" t="s">
        <v>119</v>
      </c>
      <c r="D10" s="13">
        <v>8</v>
      </c>
      <c r="E10" s="64">
        <v>160</v>
      </c>
    </row>
    <row r="11" spans="1:7" ht="15" thickBot="1" x14ac:dyDescent="0.35">
      <c r="A11" s="60">
        <v>45540</v>
      </c>
      <c r="B11" s="61" t="s">
        <v>120</v>
      </c>
      <c r="C11" s="61" t="s">
        <v>11</v>
      </c>
      <c r="D11" s="65">
        <v>5</v>
      </c>
      <c r="E11" s="66">
        <v>100</v>
      </c>
      <c r="G11" s="68" t="s">
        <v>129</v>
      </c>
    </row>
    <row r="12" spans="1:7" ht="15" thickTop="1" x14ac:dyDescent="0.3">
      <c r="D12" s="10">
        <f>SUM(D2:D11)</f>
        <v>86</v>
      </c>
      <c r="E12" s="67">
        <f>SUM(E2:E11)</f>
        <v>1950</v>
      </c>
      <c r="G12" s="69">
        <f>AVERAGEIF(B2:B11,"Widget A",E2:E11)</f>
        <v>185</v>
      </c>
    </row>
    <row r="13" spans="1:7" x14ac:dyDescent="0.3">
      <c r="G13" s="70" t="s">
        <v>130</v>
      </c>
    </row>
    <row r="14" spans="1:7" x14ac:dyDescent="0.3">
      <c r="C14" s="58" t="s">
        <v>121</v>
      </c>
      <c r="G14" s="71">
        <f>AVERAGEIF(B2:B11,"Widget B",E2:E11)</f>
        <v>230</v>
      </c>
    </row>
    <row r="15" spans="1:7" x14ac:dyDescent="0.3">
      <c r="C15" s="58" t="s">
        <v>122</v>
      </c>
      <c r="G15" s="72" t="s">
        <v>131</v>
      </c>
    </row>
    <row r="16" spans="1:7" x14ac:dyDescent="0.3">
      <c r="C16" s="58" t="s">
        <v>128</v>
      </c>
      <c r="G16" s="74">
        <f>AVERAGEIF(B2:B11,"Widget C",E2:E11)</f>
        <v>173.33333333333334</v>
      </c>
    </row>
    <row r="17" spans="3:7" x14ac:dyDescent="0.3">
      <c r="C17" t="s">
        <v>123</v>
      </c>
      <c r="G17" s="10" t="s">
        <v>128</v>
      </c>
    </row>
    <row r="18" spans="3:7" x14ac:dyDescent="0.3">
      <c r="C18" t="s">
        <v>124</v>
      </c>
    </row>
  </sheetData>
  <conditionalFormatting sqref="B2:B11">
    <cfRule type="containsText" dxfId="2" priority="1" operator="containsText" text="Widget C">
      <formula>NOT(ISERROR(SEARCH("Widget C",B2)))</formula>
    </cfRule>
    <cfRule type="containsText" dxfId="1" priority="2" operator="containsText" text="Widget B">
      <formula>NOT(ISERROR(SEARCH("Widget B",B2)))</formula>
    </cfRule>
    <cfRule type="containsText" dxfId="0" priority="3" operator="containsText" text="Widget A">
      <formula>NOT(ISERROR(SEARCH("Widget A",B2)))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2025-08-01T07:09:49Z</dcterms:modified>
</cp:coreProperties>
</file>